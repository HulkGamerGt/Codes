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mulacion"/>
    <sheet r:id="rId2" sheetId="2" name="Cuadro1_v0_25"/>
    <sheet r:id="rId3" sheetId="3" name="Cuadro2_Alcances"/>
    <sheet r:id="rId4" sheetId="4" name="Datos_Graficos"/>
  </sheets>
  <calcPr fullCalcOnLoad="1"/>
</workbook>
</file>

<file path=xl/sharedStrings.xml><?xml version="1.0" encoding="utf-8"?>
<sst xmlns="http://schemas.openxmlformats.org/spreadsheetml/2006/main" count="25" uniqueCount="25">
  <si>
    <t>Tiempo t (s)</t>
  </si>
  <si>
    <t>Posición x (m)</t>
  </si>
  <si>
    <t>Posición y (m)</t>
  </si>
  <si>
    <t>Velocidad vx (m/s)</t>
  </si>
  <si>
    <t>Velocidad vy (m/s)</t>
  </si>
  <si>
    <t>v0 (m/s)</t>
  </si>
  <si>
    <t>20°</t>
  </si>
  <si>
    <t>30°</t>
  </si>
  <si>
    <t>45°</t>
  </si>
  <si>
    <t>60°</t>
  </si>
  <si>
    <t>80°</t>
  </si>
  <si>
    <t>Ángulo (°)</t>
  </si>
  <si>
    <t>Tiempo de vuelo (s)</t>
  </si>
  <si>
    <t>Alcance R (m)</t>
  </si>
  <si>
    <t>Altura máxima (m)</t>
  </si>
  <si>
    <t>SIMULACIÓN DE LANZAMIENTO DE PROYECTIL</t>
  </si>
  <si>
    <t>Parámetros de entrada</t>
  </si>
  <si>
    <t>Velocidad inicial v0 (m/s):</t>
  </si>
  <si>
    <t>Ángulo θ (°):</t>
  </si>
  <si>
    <t>Altura inicial y0 (m):</t>
  </si>
  <si>
    <t>Gravedad g (m/s²):</t>
  </si>
  <si>
    <t>Resultados</t>
  </si>
  <si>
    <t>Tiempo de vuelo tv (s):</t>
  </si>
  <si>
    <t>Alcance R (m):</t>
  </si>
  <si>
    <t>Altura máxima ymax (m):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</si>
</sst>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"/>
  <sheetViews>
    <sheetView workbookViewId="0" tabSelected="1"/>
  </sheetViews>
  <sheetFormatPr defaultRowHeight="15" x14ac:dyDescent="0.25"/>
  <cols>
    <col min="1" max="1" style="11" width="25.005" customWidth="1" bestFit="1"/>
    <col min="2" max="2" style="12" width="25.005" customWidth="1" bestFit="1"/>
    <col min="3" max="3" style="11" width="25.005" customWidth="1" bestFit="1"/>
    <col min="4" max="4" style="11" width="25.005" customWidth="1" bestFit="1"/>
  </cols>
  <sheetData>
    <row x14ac:dyDescent="0.25" r="1" customHeight="1" ht="20.25">
      <c r="A1" s="7" t="s">
        <v>15</v>
      </c>
      <c r="B1" s="8"/>
      <c r="C1" s="9"/>
      <c r="D1" s="9"/>
    </row>
    <row x14ac:dyDescent="0.25" r="2" customHeight="1" ht="18">
      <c r="A2" s="9"/>
      <c r="B2" s="8"/>
      <c r="C2" s="9"/>
      <c r="D2" s="9"/>
    </row>
    <row x14ac:dyDescent="0.25" r="3" customHeight="1" ht="18.75">
      <c r="A3" s="10" t="s">
        <v>16</v>
      </c>
      <c r="B3" s="8">
        <v>0</v>
      </c>
      <c r="C3" s="9"/>
      <c r="D3" s="9"/>
    </row>
    <row x14ac:dyDescent="0.25" r="4" customHeight="1" ht="18">
      <c r="A4" s="9" t="s">
        <v>17</v>
      </c>
      <c r="B4" s="3">
        <v>25</v>
      </c>
      <c r="C4" s="9"/>
      <c r="D4" s="9"/>
    </row>
    <row x14ac:dyDescent="0.25" r="5" customHeight="1" ht="18">
      <c r="A5" s="9" t="s">
        <v>18</v>
      </c>
      <c r="B5" s="3">
        <v>20</v>
      </c>
      <c r="C5" s="9"/>
      <c r="D5" s="9"/>
    </row>
    <row x14ac:dyDescent="0.25" r="6" customHeight="1" ht="18">
      <c r="A6" s="9" t="s">
        <v>19</v>
      </c>
      <c r="B6" s="3">
        <v>0</v>
      </c>
      <c r="C6" s="9"/>
      <c r="D6" s="9"/>
    </row>
    <row x14ac:dyDescent="0.25" r="7" customHeight="1" ht="18">
      <c r="A7" s="9" t="s">
        <v>20</v>
      </c>
      <c r="B7" s="4">
        <v>9.8</v>
      </c>
      <c r="C7" s="9"/>
      <c r="D7" s="9"/>
    </row>
    <row x14ac:dyDescent="0.25" r="8" customHeight="1" ht="18">
      <c r="A8" s="9"/>
      <c r="B8" s="8"/>
      <c r="C8" s="9"/>
      <c r="D8" s="9"/>
    </row>
    <row x14ac:dyDescent="0.25" r="9" customHeight="1" ht="18.75">
      <c r="A9" s="10" t="s">
        <v>21</v>
      </c>
      <c r="B9" s="8"/>
      <c r="C9" s="9"/>
      <c r="D9" s="9"/>
    </row>
    <row x14ac:dyDescent="0.25" r="10" customHeight="1" ht="18">
      <c r="A10" s="9" t="s">
        <v>22</v>
      </c>
      <c r="B10" s="8">
        <f>2*B4*SIN(RADIANS(B5))/B7</f>
      </c>
      <c r="C10" s="9"/>
      <c r="D10" s="9"/>
    </row>
    <row x14ac:dyDescent="0.25" r="11" customHeight="1" ht="18">
      <c r="A11" s="9" t="s">
        <v>23</v>
      </c>
      <c r="B11" s="8">
        <f>B4*COS(RADIANS(B5))*B10</f>
      </c>
      <c r="C11" s="9"/>
      <c r="D11" s="9"/>
    </row>
    <row x14ac:dyDescent="0.25" r="12" customHeight="1" ht="18">
      <c r="A12" s="9" t="s">
        <v>24</v>
      </c>
      <c r="B12" s="8">
        <f>(B4*SIN(RADIANS(B5)))^2/(2*B7)</f>
      </c>
      <c r="C12" s="9"/>
      <c r="D12" s="9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/>
  </sheetViews>
  <sheetFormatPr defaultRowHeight="15" x14ac:dyDescent="0.25"/>
  <cols>
    <col min="1" max="1" style="6" width="20.005" customWidth="1" bestFit="1"/>
    <col min="2" max="2" style="5" width="20.005" customWidth="1" bestFit="1"/>
    <col min="3" max="3" style="5" width="20.005" customWidth="1" bestFit="1"/>
    <col min="4" max="4" style="5" width="20.005" customWidth="1" bestFit="1"/>
  </cols>
  <sheetData>
    <row x14ac:dyDescent="0.25" r="1" customHeight="1" ht="18">
      <c r="A1" s="2" t="s">
        <v>11</v>
      </c>
      <c r="B1" s="1" t="s">
        <v>12</v>
      </c>
      <c r="C1" s="1" t="s">
        <v>13</v>
      </c>
      <c r="D1" s="1" t="s">
        <v>14</v>
      </c>
    </row>
    <row x14ac:dyDescent="0.25" r="2" customHeight="1" ht="18">
      <c r="A2" s="3">
        <v>20</v>
      </c>
      <c r="B2" s="4">
        <v>1.745</v>
      </c>
      <c r="C2" s="3">
        <v>41</v>
      </c>
      <c r="D2" s="4">
        <v>3.73</v>
      </c>
    </row>
    <row x14ac:dyDescent="0.25" r="3" customHeight="1" ht="18">
      <c r="A3" s="3">
        <v>30</v>
      </c>
      <c r="B3" s="4">
        <v>2.551</v>
      </c>
      <c r="C3" s="4">
        <v>55.2</v>
      </c>
      <c r="D3" s="4">
        <v>7.97</v>
      </c>
    </row>
    <row x14ac:dyDescent="0.25" r="4" customHeight="1" ht="18">
      <c r="A4" s="3">
        <v>45</v>
      </c>
      <c r="B4" s="4">
        <v>3.608</v>
      </c>
      <c r="C4" s="4">
        <v>63.8</v>
      </c>
      <c r="D4" s="4">
        <v>15.94</v>
      </c>
    </row>
    <row x14ac:dyDescent="0.25" r="5" customHeight="1" ht="18">
      <c r="A5" s="3">
        <v>60</v>
      </c>
      <c r="B5" s="4">
        <v>4.418</v>
      </c>
      <c r="C5" s="4">
        <v>55.2</v>
      </c>
      <c r="D5" s="4">
        <v>23.92</v>
      </c>
    </row>
    <row x14ac:dyDescent="0.25" r="6" customHeight="1" ht="18">
      <c r="A6" s="3">
        <v>80</v>
      </c>
      <c r="B6" s="4">
        <v>5.025</v>
      </c>
      <c r="C6" s="4">
        <v>21.8</v>
      </c>
      <c r="D6" s="4">
        <v>30.93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6" width="12.005" customWidth="1" bestFit="1"/>
    <col min="2" max="2" style="5" width="12.005" customWidth="1" bestFit="1"/>
    <col min="3" max="3" style="5" width="12.005" customWidth="1" bestFit="1"/>
    <col min="4" max="4" style="6" width="12.005" customWidth="1" bestFit="1"/>
    <col min="5" max="5" style="5" width="12.005" customWidth="1" bestFit="1"/>
    <col min="6" max="6" style="5" width="12.005" customWidth="1" bestFit="1"/>
  </cols>
  <sheetData>
    <row x14ac:dyDescent="0.25" r="1" customHeight="1" ht="18">
      <c r="A1" s="2" t="s">
        <v>5</v>
      </c>
      <c r="B1" s="1" t="s">
        <v>6</v>
      </c>
      <c r="C1" s="1" t="s">
        <v>7</v>
      </c>
      <c r="D1" s="2" t="s">
        <v>8</v>
      </c>
      <c r="E1" s="1" t="s">
        <v>9</v>
      </c>
      <c r="F1" s="1" t="s">
        <v>10</v>
      </c>
    </row>
    <row x14ac:dyDescent="0.25" r="2" customHeight="1" ht="18">
      <c r="A2" s="3">
        <v>25</v>
      </c>
      <c r="B2" s="3">
        <v>41</v>
      </c>
      <c r="C2" s="4">
        <v>55.2</v>
      </c>
      <c r="D2" s="4">
        <v>63.8</v>
      </c>
      <c r="E2" s="4">
        <v>55.2</v>
      </c>
      <c r="F2" s="4">
        <v>21.8</v>
      </c>
    </row>
    <row x14ac:dyDescent="0.25" r="3" customHeight="1" ht="18">
      <c r="A3" s="3">
        <v>20</v>
      </c>
      <c r="B3" s="4">
        <v>26.2</v>
      </c>
      <c r="C3" s="4">
        <v>35.3</v>
      </c>
      <c r="D3" s="4">
        <v>40.8</v>
      </c>
      <c r="E3" s="4">
        <v>35.3</v>
      </c>
      <c r="F3" s="3">
        <v>14</v>
      </c>
    </row>
    <row x14ac:dyDescent="0.25" r="4" customHeight="1" ht="18">
      <c r="A4" s="3">
        <v>15</v>
      </c>
      <c r="B4" s="4">
        <v>14.8</v>
      </c>
      <c r="C4" s="4">
        <v>19.9</v>
      </c>
      <c r="D4" s="3">
        <v>23</v>
      </c>
      <c r="E4" s="4">
        <v>19.9</v>
      </c>
      <c r="F4" s="4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/>
  </sheetViews>
  <sheetFormatPr defaultRowHeight="15" x14ac:dyDescent="0.25"/>
  <cols>
    <col min="1" max="1" style="5" width="20.005" customWidth="1" bestFit="1"/>
    <col min="2" max="2" style="5" width="20.005" customWidth="1" bestFit="1"/>
    <col min="3" max="3" style="6" width="20.005" customWidth="1" bestFit="1"/>
    <col min="4" max="4" style="5" width="20.005" customWidth="1" bestFit="1"/>
    <col min="5" max="5" style="5" width="20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">
      <c r="A2" s="3">
        <v>0</v>
      </c>
      <c r="B2" s="3">
        <v>0</v>
      </c>
      <c r="C2" s="3">
        <v>0</v>
      </c>
      <c r="D2" s="4">
        <v>23.49</v>
      </c>
      <c r="E2" s="4">
        <v>8.55</v>
      </c>
    </row>
    <row x14ac:dyDescent="0.25" r="3" customHeight="1" ht="18">
      <c r="A3" s="4">
        <v>0.349</v>
      </c>
      <c r="B3" s="4">
        <v>8.2</v>
      </c>
      <c r="C3" s="4">
        <v>2.39</v>
      </c>
      <c r="D3" s="4">
        <v>23.49</v>
      </c>
      <c r="E3" s="4">
        <v>5.13</v>
      </c>
    </row>
    <row x14ac:dyDescent="0.25" r="4" customHeight="1" ht="18">
      <c r="A4" s="4">
        <v>0.698</v>
      </c>
      <c r="B4" s="4">
        <v>16.4</v>
      </c>
      <c r="C4" s="4">
        <v>3.58</v>
      </c>
      <c r="D4" s="4">
        <v>23.49</v>
      </c>
      <c r="E4" s="4">
        <v>1.71</v>
      </c>
    </row>
    <row x14ac:dyDescent="0.25" r="5" customHeight="1" ht="18">
      <c r="A5" s="4">
        <v>1.047</v>
      </c>
      <c r="B5" s="4">
        <v>24.6</v>
      </c>
      <c r="C5" s="4">
        <v>3.58</v>
      </c>
      <c r="D5" s="4">
        <v>23.49</v>
      </c>
      <c r="E5" s="4">
        <v>-1.71</v>
      </c>
    </row>
    <row x14ac:dyDescent="0.25" r="6" customHeight="1" ht="18">
      <c r="A6" s="4">
        <v>1.396</v>
      </c>
      <c r="B6" s="4">
        <v>32.8</v>
      </c>
      <c r="C6" s="4">
        <v>2.39</v>
      </c>
      <c r="D6" s="4">
        <v>23.49</v>
      </c>
      <c r="E6" s="4">
        <v>-5.13</v>
      </c>
    </row>
    <row x14ac:dyDescent="0.25" r="7" customHeight="1" ht="18">
      <c r="A7" s="4">
        <v>1.745</v>
      </c>
      <c r="B7" s="4">
        <v>40.99</v>
      </c>
      <c r="C7" s="3">
        <v>0</v>
      </c>
      <c r="D7" s="4">
        <v>23.49</v>
      </c>
      <c r="E7" s="4">
        <v>-8.55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Simulacion</vt:lpstr>
      <vt:lpstr>Cuadro1_v0_25</vt:lpstr>
      <vt:lpstr>Cuadro2_Alcances</vt:lpstr>
      <vt:lpstr>Datos_Graficos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2026-05-03T15:01:08.120Z</dcterms:created>
  <dcterms:modified xsi:type="dcterms:W3CDTF">2026-05-03T15:01:08.120Z</dcterms:modified>
</cp:coreProperties>
</file>